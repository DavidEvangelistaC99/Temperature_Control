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<sst xmlns="http://schemas.openxmlformats.org/spreadsheetml/2006/main" count="31" uniqueCount="22">
  <si>
    <t>Heating pads Test</t>
  </si>
  <si>
    <t>Voltage (V)</t>
  </si>
  <si>
    <t>Current (A)</t>
  </si>
  <si>
    <t>Measured temperature (°C)</t>
  </si>
  <si>
    <t>Ambient temperature (°C)</t>
  </si>
  <si>
    <t>Temperature variation</t>
  </si>
  <si>
    <t>Power</t>
  </si>
  <si>
    <t>Total power (to 6 Heating Pads on)</t>
  </si>
  <si>
    <t>20-23</t>
  </si>
  <si>
    <t>-40   40</t>
  </si>
  <si>
    <t>Vin</t>
  </si>
  <si>
    <t>9V</t>
  </si>
  <si>
    <t>PWM 4</t>
  </si>
  <si>
    <t>3.3V</t>
  </si>
  <si>
    <t>DESACTIVADO</t>
  </si>
  <si>
    <t>0V</t>
  </si>
  <si>
    <t>ACTIVADO</t>
  </si>
  <si>
    <t>PWM</t>
  </si>
  <si>
    <t>Temperatura MOSFET</t>
  </si>
  <si>
    <t>39.8 °C</t>
  </si>
  <si>
    <t>1.57V</t>
  </si>
  <si>
    <t>31.8 °C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</si>
</sst>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4" fillId="2" fontId="1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5" numFmtId="0" xfId="0" applyFont="1"/>
    <xf borderId="4" fillId="0" fontId="1" numFmtId="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0</xdr:row>
      <xdr:rowOff>190500</xdr:rowOff>
    </xdr:from>
    <xdr:ext cx="5772150" cy="27908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0</xdr:row>
      <xdr:rowOff>190500</xdr:rowOff>
    </xdr:from>
    <xdr:ext cx="1828800" cy="27908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18</xdr:row>
      <xdr:rowOff>19050</xdr:rowOff>
    </xdr:from>
    <xdr:ext cx="6267450" cy="33528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38</xdr:row>
      <xdr:rowOff>9525</xdr:rowOff>
    </xdr:from>
    <xdr:ext cx="6267450" cy="3352800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58</xdr:row>
      <xdr:rowOff>38100</xdr:rowOff>
    </xdr:from>
    <xdr:ext cx="6210300" cy="335280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</cols>
  <sheetData>
    <row r="2">
      <c r="B2" s="1"/>
      <c r="C2" s="1"/>
    </row>
    <row r="3">
      <c r="B3" s="2" t="s">
        <v>0</v>
      </c>
      <c r="C3" s="3"/>
      <c r="D3" s="3"/>
      <c r="E3" s="3"/>
      <c r="F3" s="4"/>
    </row>
    <row r="4">
      <c r="B4" s="5" t="s">
        <v>1</v>
      </c>
      <c r="C4" s="5">
        <v>12.0</v>
      </c>
      <c r="D4" s="5">
        <v>9.0</v>
      </c>
      <c r="E4" s="5">
        <v>7.5</v>
      </c>
      <c r="F4" s="5">
        <v>5.0</v>
      </c>
    </row>
    <row r="5">
      <c r="B5" s="5" t="s">
        <v>2</v>
      </c>
      <c r="C5" s="6">
        <v>1.402</v>
      </c>
      <c r="D5" s="6">
        <v>1.162</v>
      </c>
      <c r="E5" s="6">
        <v>1.0</v>
      </c>
      <c r="F5" s="6">
        <v>0.747</v>
      </c>
    </row>
    <row r="6">
      <c r="B6" s="5" t="s">
        <v>3</v>
      </c>
      <c r="C6" s="6">
        <v>92.8</v>
      </c>
      <c r="D6" s="6">
        <v>67.6</v>
      </c>
      <c r="E6" s="6">
        <v>56.4</v>
      </c>
      <c r="F6" s="6">
        <v>41.2</v>
      </c>
    </row>
    <row r="7">
      <c r="B7" s="5" t="s">
        <v>4</v>
      </c>
      <c r="C7" s="6">
        <v>23.8</v>
      </c>
      <c r="D7" s="6">
        <v>23.8</v>
      </c>
      <c r="E7" s="6">
        <v>23.2</v>
      </c>
      <c r="F7" s="6">
        <v>24.1</v>
      </c>
    </row>
    <row r="8">
      <c r="B8" s="5" t="s">
        <v>5</v>
      </c>
      <c r="C8" s="7">
        <f t="shared" ref="C8:F8" si="1">C6-C7</f>
        <v>69</v>
      </c>
      <c r="D8" s="7">
        <f t="shared" si="1"/>
        <v>43.8</v>
      </c>
      <c r="E8" s="7">
        <f t="shared" si="1"/>
        <v>33.2</v>
      </c>
      <c r="F8" s="7">
        <f t="shared" si="1"/>
        <v>17.1</v>
      </c>
    </row>
    <row r="9">
      <c r="B9" s="5" t="s">
        <v>6</v>
      </c>
      <c r="C9" s="7">
        <f t="shared" ref="C9:F9" si="2">C4*C5</f>
        <v>16.824</v>
      </c>
      <c r="D9" s="7">
        <f t="shared" si="2"/>
        <v>10.458</v>
      </c>
      <c r="E9" s="7">
        <f t="shared" si="2"/>
        <v>7.5</v>
      </c>
      <c r="F9" s="7">
        <f t="shared" si="2"/>
        <v>3.735</v>
      </c>
    </row>
    <row r="10">
      <c r="B10" s="8" t="s">
        <v>7</v>
      </c>
      <c r="C10" s="9">
        <f t="shared" ref="C10:F10" si="3">C9*6</f>
        <v>100.944</v>
      </c>
      <c r="D10" s="7">
        <f t="shared" si="3"/>
        <v>62.748</v>
      </c>
      <c r="E10" s="7">
        <f t="shared" si="3"/>
        <v>45</v>
      </c>
      <c r="F10" s="7">
        <f t="shared" si="3"/>
        <v>22.41</v>
      </c>
    </row>
    <row r="11">
      <c r="D11" s="7">
        <f>75-D10</f>
        <v>12.252</v>
      </c>
    </row>
    <row r="14">
      <c r="D14" s="10" t="s">
        <v>8</v>
      </c>
    </row>
    <row r="16">
      <c r="D16" s="10" t="s">
        <v>9</v>
      </c>
    </row>
  </sheetData>
  <mergeCells count="1">
    <mergeCell ref="B3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</cols>
  <sheetData>
    <row r="1">
      <c r="B1" s="11"/>
      <c r="C1" s="1"/>
    </row>
    <row r="2">
      <c r="B2" s="5" t="s">
        <v>10</v>
      </c>
      <c r="C2" s="6" t="s">
        <v>11</v>
      </c>
      <c r="L2" s="12"/>
    </row>
    <row r="3">
      <c r="B3" s="5" t="s">
        <v>12</v>
      </c>
      <c r="C3" s="6" t="s">
        <v>13</v>
      </c>
      <c r="D3" s="6" t="s">
        <v>14</v>
      </c>
    </row>
    <row r="4">
      <c r="B4" s="5" t="s">
        <v>12</v>
      </c>
      <c r="C4" s="6" t="s">
        <v>15</v>
      </c>
      <c r="D4" s="6" t="s">
        <v>16</v>
      </c>
      <c r="L4" s="12"/>
    </row>
    <row r="6">
      <c r="B6" s="5" t="s">
        <v>17</v>
      </c>
      <c r="C6" s="13">
        <v>1.0</v>
      </c>
    </row>
    <row r="7">
      <c r="B7" s="5" t="s">
        <v>12</v>
      </c>
      <c r="C7" s="6" t="s">
        <v>15</v>
      </c>
      <c r="D7" s="6">
        <v>0.0</v>
      </c>
    </row>
    <row r="8">
      <c r="B8" s="5" t="s">
        <v>18</v>
      </c>
      <c r="C8" s="6" t="s">
        <v>19</v>
      </c>
    </row>
    <row r="10">
      <c r="B10" s="5" t="s">
        <v>17</v>
      </c>
      <c r="C10" s="13">
        <v>0.5</v>
      </c>
    </row>
    <row r="11">
      <c r="B11" s="5" t="s">
        <v>12</v>
      </c>
      <c r="C11" s="6" t="s">
        <v>20</v>
      </c>
      <c r="D11" s="6">
        <v>128.0</v>
      </c>
    </row>
    <row r="12">
      <c r="B12" s="5" t="s">
        <v>18</v>
      </c>
      <c r="C12" s="6" t="s">
        <v>21</v>
      </c>
    </row>
    <row r="18">
      <c r="B18" s="5" t="s">
        <v>17</v>
      </c>
      <c r="C18" s="6">
        <v>100.0</v>
      </c>
    </row>
    <row r="38">
      <c r="B38" s="5" t="s">
        <v>17</v>
      </c>
      <c r="C38" s="6">
        <v>50.0</v>
      </c>
    </row>
    <row r="58">
      <c r="B58" s="5" t="s">
        <v>17</v>
      </c>
      <c r="C58" s="6">
        <v>25.0</v>
      </c>
    </row>
  </sheetData>
  <drawing r:id="rId1"/>
</worksheet>
</file>